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wamp64\www\ifspa\docs\"/>
    </mc:Choice>
  </mc:AlternateContent>
  <xr:revisionPtr revIDLastSave="0" documentId="13_ncr:1_{DCFF8359-AD9A-404B-AE96-B50EA87ADB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ynthèse" sheetId="1" r:id="rId1"/>
    <sheet name="Détail" sheetId="2" r:id="rId2"/>
  </sheets>
  <definedNames>
    <definedName name="_xlnm._FilterDatabase" localSheetId="1" hidden="1">Détail!$A$4:$F$49</definedName>
    <definedName name="_xlnm.Print_Titles" localSheetId="1">Détail!$4:$4</definedName>
  </definedNames>
  <calcPr calcId="191029"/>
</workbook>
</file>

<file path=xl/calcChain.xml><?xml version="1.0" encoding="utf-8"?>
<calcChain xmlns="http://schemas.openxmlformats.org/spreadsheetml/2006/main">
  <c r="F50" i="2" l="1"/>
  <c r="D23" i="1"/>
  <c r="D22" i="1"/>
  <c r="C20" i="1"/>
  <c r="C19" i="1"/>
  <c r="C18" i="1"/>
  <c r="C17" i="1"/>
  <c r="C16" i="1"/>
  <c r="C15" i="1"/>
  <c r="C14" i="1"/>
  <c r="C13" i="1"/>
  <c r="C12" i="1"/>
  <c r="C11" i="1"/>
  <c r="C21" i="1" s="1"/>
  <c r="D15" i="1" l="1"/>
  <c r="C23" i="1"/>
  <c r="D14" i="1"/>
  <c r="C22" i="1"/>
  <c r="C24" i="1" s="1"/>
  <c r="C26" i="1" s="1"/>
  <c r="D13" i="1"/>
  <c r="D20" i="1"/>
  <c r="D12" i="1"/>
  <c r="D19" i="1"/>
  <c r="D11" i="1"/>
  <c r="D18" i="1"/>
  <c r="D16" i="1"/>
  <c r="D17" i="1"/>
</calcChain>
</file>

<file path=xl/sharedStrings.xml><?xml version="1.0" encoding="utf-8"?>
<sst xmlns="http://schemas.openxmlformats.org/spreadsheetml/2006/main" count="255" uniqueCount="205">
  <si>
    <t>IFSPA — Gestion de l'écolage</t>
  </si>
  <si>
    <t>Estimation du reste à faire, en jours-homme (JH) — Institut de Formation Supérieur des Paramédicaux Atsinanana, Toamasina</t>
  </si>
  <si>
    <t>Établie le 01/10/2026 — Conception et réalisation : Diano ANDRIANTSALAMA</t>
  </si>
  <si>
    <t>Paramètres</t>
  </si>
  <si>
    <t>Gestion de projet</t>
  </si>
  <si>
    <t>Taux demandé : 10 % de la charge de réalisation.</t>
  </si>
  <si>
    <t>Retours clients</t>
  </si>
  <si>
    <t>Taux demandé : 5 % de la charge de réalisation.</t>
  </si>
  <si>
    <t>Tarif journalier (Ar)</t>
  </si>
  <si>
    <t>Facultatif : à renseigner pour obtenir un montant. Vide, aucun montant n'est calculé.</t>
  </si>
  <si>
    <t>N°</t>
  </si>
  <si>
    <t>Lot</t>
  </si>
  <si>
    <t>Estimation (JH)</t>
  </si>
  <si>
    <t>Part</t>
  </si>
  <si>
    <t>Connexion et cadre de l'application</t>
  </si>
  <si>
    <t>Paramètres (administrateur)</t>
  </si>
  <si>
    <t>Étudiants</t>
  </si>
  <si>
    <t>Écolage et encaissement</t>
  </si>
  <si>
    <t>Encaissement hors ligne</t>
  </si>
  <si>
    <t>Passage en année supérieure et sorties</t>
  </si>
  <si>
    <t>Tableau de bord</t>
  </si>
  <si>
    <t>Reprise des données Excel</t>
  </si>
  <si>
    <t>Mise en production</t>
  </si>
  <si>
    <t>Recette et formation</t>
  </si>
  <si>
    <t>Sous-total réalisation</t>
  </si>
  <si>
    <t>TOTAL (JH)</t>
  </si>
  <si>
    <t>Montant total (Ar)</t>
  </si>
  <si>
    <t>Total JH × tarif journalier</t>
  </si>
  <si>
    <t>Hypothèses</t>
  </si>
  <si>
    <t>• Déjà réalisé, exclu de cette estimation : cadrage et spécification, maquettes de tous les écrans, socle technique (base, authentification, données initiales), charte graphique, page d'accueil, galerie, formulaire de contact.</t>
  </si>
  <si>
    <t>• Charges calées sur la vitesse constatée sur ces fondations (développement assisté par IA, tests de bout en bout automatisés). 1 JH = une journée de travail.</t>
  </si>
  <si>
    <t>• Hors ligne : uniquement l'écran Encaisser, sans rien installer sur le poste. Les autres écrans demandent Internet.</t>
  </si>
  <si>
    <t>• Gestion de projet et retours clients sont calculés sur le sous-total de réalisation, aux taux des paramètres ci-dessus.</t>
  </si>
  <si>
    <t>• Points pouvant faire varier la charge : encaissement hors ligne (tests réels de coupure), délais de validation du client, ticket thermique (modèle d'imprimante), reprise Excel (fichier non encore fourni), version de Node de l'hébergeur.</t>
  </si>
  <si>
    <t>• Le détail par fonctionnalité, avec description et commentaires, se trouve dans la feuille Détail.</t>
  </si>
  <si>
    <t>IFSPA — Estimation détaillée du reste à faire</t>
  </si>
  <si>
    <t>En bleu : estimations à ajuster. Les totaux et la feuille Synthèse se recalculent seuls. 1 JH = une journée de travail.</t>
  </si>
  <si>
    <t>Fonctionnalité</t>
  </si>
  <si>
    <t>Description</t>
  </si>
  <si>
    <t>Commentaires</t>
  </si>
  <si>
    <t>1.1</t>
  </si>
  <si>
    <t>Page de connexion</t>
  </si>
  <si>
    <t>Formulaire de connexion à l'espace de gestion.</t>
  </si>
  <si>
    <t>1.2</t>
  </si>
  <si>
    <t>Protection des pages et des rôles</t>
  </si>
  <si>
    <t>Redirection vers la connexion sans session ; contrôle du rôle côté serveur sur chaque action.</t>
  </si>
  <si>
    <t>Le rôle est vérifié sur le serveur, pas seulement en masquant les boutons.</t>
  </si>
  <si>
    <t>1.3</t>
  </si>
  <si>
    <t>Cadre de l'application</t>
  </si>
  <si>
    <t>Menu latéral, menu utilisateur, déconnexion, navigation mobile.</t>
  </si>
  <si>
    <t>2.1</t>
  </si>
  <si>
    <t>Filières</t>
  </si>
  <si>
    <t>Création et modification (code, nom, durée des études).</t>
  </si>
  <si>
    <t>IF et SF au départ ; d'autres filières pourront être ajoutées.</t>
  </si>
  <si>
    <t>2.2</t>
  </si>
  <si>
    <t>Années scolaires</t>
  </si>
  <si>
    <t>Création, année courante, clôture.</t>
  </si>
  <si>
    <t>2.3</t>
  </si>
  <si>
    <t>Tarifs</t>
  </si>
  <si>
    <t>Droits d'inscription et mensualité par filière, année scolaire et niveau.</t>
  </si>
  <si>
    <t>Un changement de tarif ne modifie pas les échéances déjà générées.</t>
  </si>
  <si>
    <t>2.4</t>
  </si>
  <si>
    <t>Utilisateurs</t>
  </si>
  <si>
    <t>Création, rôle, désactivation, réinitialisation du mot de passe.</t>
  </si>
  <si>
    <t>Deux rôles : admin et user (secrétariat).</t>
  </si>
  <si>
    <t>3.1</t>
  </si>
  <si>
    <t>Matricule automatique</t>
  </si>
  <si>
    <t>Format FILIÈRE-ANNÉE-NUMÉRO (ex. IF-2026-0001), séquence par filière et année d'entrée.</t>
  </si>
  <si>
    <t>Ne change jamais, même en cas de redoublement. Testé contre les doublons en cas de créations simultanées.</t>
  </si>
  <si>
    <t>3.2</t>
  </si>
  <si>
    <t>Inscription d'un nouvel étudiant</t>
  </si>
  <si>
    <t>Fiche d'identité, photo, filière, choix des droits en 1, 2 ou 3 fois ; échéances de l'année générées automatiquement.</t>
  </si>
  <si>
    <t>Bloquée avec un message clair si le tarif de la classe manque.</t>
  </si>
  <si>
    <t>3.3</t>
  </si>
  <si>
    <t>Liste des étudiants</t>
  </si>
  <si>
    <t>Recherche par nom ou matricule ; filtres filière, niveau, année, statut, en retard.</t>
  </si>
  <si>
    <t>3.4</t>
  </si>
  <si>
    <t>Fiche étudiant</t>
  </si>
  <si>
    <t>Identité, parcours année par année, grille d'écolage mois par mois, historique des paiements et reçus.</t>
  </si>
  <si>
    <t>Pas de tuteur (retiré à la demande du client).</t>
  </si>
  <si>
    <t>3.5</t>
  </si>
  <si>
    <t>Modification d'un étudiant</t>
  </si>
  <si>
    <t>Mise à jour de l'identité et des coordonnées.</t>
  </si>
  <si>
    <t>La filière ne se change plus après l'enregistrement.</t>
  </si>
  <si>
    <t>4.1</t>
  </si>
  <si>
    <t>Calcul de l'écolage</t>
  </si>
  <si>
    <t>Génération des échéances, répartition des paiements de la plus ancienne à la plus récente, retards et soldes.</t>
  </si>
  <si>
    <t>Cœur métier couvert par des tests automatisés. Pas de notion d'arriérés : chaque année est suivie pour elle-même.</t>
  </si>
  <si>
    <t>4.2</t>
  </si>
  <si>
    <t>Droits d'inscription en 1, 2 ou 3 tranches</t>
  </si>
  <si>
    <t>Tranches exigibles en octobre, novembre et décembre ; parts égales arrondies au millier.</t>
  </si>
  <si>
    <t>Demande du client. Choix fait à l'inscription, repris l'année suivante.</t>
  </si>
  <si>
    <t>4.3</t>
  </si>
  <si>
    <t>Paiement partiel (acompte)</t>
  </si>
  <si>
    <t>Montant reçu libre : le surplus part en acompte sur l'échéance suivante, un montant inférieur paie l'échéance en partie.</t>
  </si>
  <si>
    <t>Rétabli à la demande du client le 01/10/2026. Trop-perçu au-delà du reste de l'année refusé.</t>
  </si>
  <si>
    <t>4.4</t>
  </si>
  <si>
    <t>Écran Encaisser</t>
  </si>
  <si>
    <t>Guichet en 4 gestes : étudiant, échéances à cocher (retards précochés), mode de paiement, un seul bouton qui encaisse et imprime.</t>
  </si>
  <si>
    <t>Sans fenêtre de confirmation, pensé pour un parent qui attend au guichet.</t>
  </si>
  <si>
    <t>4.5</t>
  </si>
  <si>
    <t>Modes de paiement</t>
  </si>
  <si>
    <t>Espèces et Mobile Money (MVola, Orange Money, Airtel Money) avec référence de transaction.</t>
  </si>
  <si>
    <t>4.6</t>
  </si>
  <si>
    <t>Numérotation des reçus</t>
  </si>
  <si>
    <t>Numéro unique R-ANNÉE-NUMÉRO, sans trou ni doublon.</t>
  </si>
  <si>
    <t>4.7</t>
  </si>
  <si>
    <t>Montant en lettres</t>
  </si>
  <si>
    <t>Conversion en français (« cent cinquante mille ariary »).</t>
  </si>
  <si>
    <t>4.8</t>
  </si>
  <si>
    <t>Reçu sur ticket thermique</t>
  </si>
  <si>
    <t>Ticket 80 mm (58 mm en option), monochrome, réimpression, mention ANNULÉ.</t>
  </si>
  <si>
    <t>Jamais en A4 ni A5, sans QR code (décisions du client). Dépend du modèle d'imprimante de l'institut.</t>
  </si>
  <si>
    <t>4.9</t>
  </si>
  <si>
    <t>Historique des paiements</t>
  </si>
  <si>
    <t>Paiements du jour et par période.</t>
  </si>
  <si>
    <t>4.10</t>
  </si>
  <si>
    <t>Annulation d'un paiement</t>
  </si>
  <si>
    <t>Réservée à l'administrateur, avec motif, auteur et date.</t>
  </si>
  <si>
    <t>Aucun paiement n'est supprimé : il reste dans l'historique, marqué annulé.</t>
  </si>
  <si>
    <t>4.11</t>
  </si>
  <si>
    <t>Impayés</t>
  </si>
  <si>
    <t>Liste des étudiants en retard (montant, nombre de mois) et export Excel.</t>
  </si>
  <si>
    <t>4.12</t>
  </si>
  <si>
    <t>Relevé d'écolage</t>
  </si>
  <si>
    <t>PDF A4 par étudiant : tableau mois par mois pour chaque année, récapitulatif, liste des paiements.</t>
  </si>
  <si>
    <t>Sert aussi aux parents et aux relances.</t>
  </si>
  <si>
    <t>5.1</t>
  </si>
  <si>
    <t>Ouverture de l'écran sans Internet</t>
  </si>
  <si>
    <t>L'écran Encaisser est gardé en mémoire par le navigateur : il s'ouvre et se recharge même sans connexion. Les autres écrans demandent Internet.</t>
  </si>
  <si>
    <t>Demande du client. Limité à l'écran Encaisser.</t>
  </si>
  <si>
    <t>5.2</t>
  </si>
  <si>
    <t>Copie locale légère</t>
  </si>
  <si>
    <t>Étudiants actifs, échéances non soldées et tarifs gardés sur le poste.</t>
  </si>
  <si>
    <t>Pas de copie complète de la base sur le poste.</t>
  </si>
  <si>
    <t>5.3</t>
  </si>
  <si>
    <t>File des paiements en attente</t>
  </si>
  <si>
    <t>Les paiements saisis hors ligne sont gardés sur le poste jusqu'à l'envoi.</t>
  </si>
  <si>
    <t>Ne pas vider le navigateur tant que des paiements sont en attente.</t>
  </si>
  <si>
    <t>5.4</t>
  </si>
  <si>
    <t>Numéros de reçu réservés par poste</t>
  </si>
  <si>
    <t>Chaque poste réserve un bloc de numéros : le ticket imprimé hors ligne porte son numéro définitif.</t>
  </si>
  <si>
    <t>Un bloc non utilisé laisse des numéros « non utilisés », listés dans Paiements.</t>
  </si>
  <si>
    <t>5.5</t>
  </si>
  <si>
    <t>Synchronisation</t>
  </si>
  <si>
    <t>Automatique au retour de la connexion puis toutes les 5 minutes, et manuelle ; bandeau d'état.</t>
  </si>
  <si>
    <t>Un double envoi est sans effet.</t>
  </si>
  <si>
    <t>5.6</t>
  </si>
  <si>
    <t>Contrôle au serveur</t>
  </si>
  <si>
    <t>Chaque paiement est revérifié ; en cas de conflit il est enregistré et signalé « à vérifier » à l'administrateur.</t>
  </si>
  <si>
    <t>L'argent reçu n'est jamais perdu.</t>
  </si>
  <si>
    <t>5.7</t>
  </si>
  <si>
    <t>Session hors ligne</t>
  </si>
  <si>
    <t>Le poste ne redemande pas le mot de passe avant la synchronisation.</t>
  </si>
  <si>
    <t>Poste le plus risqué du projet : tests réels de coupure nécessaires.</t>
  </si>
  <si>
    <t>6.1</t>
  </si>
  <si>
    <t>Écran de passage par classe</t>
  </si>
  <si>
    <t>Tous les étudiants sont cochés, on décoche ceux qui ne passent pas (redouble ou abandon) ; avancement par classe.</t>
  </si>
  <si>
    <t>Écran refait à la demande du client. Une seule confirmation, qui nomme ceux qui ne passent pas.</t>
  </si>
  <si>
    <t>6.2</t>
  </si>
  <si>
    <t>Validation d'une classe</t>
  </si>
  <si>
    <t>Création des inscriptions et des échéances de la nouvelle année, mise à jour des statuts, en une seule opération.</t>
  </si>
  <si>
    <t>Bloquée si le tarif de la classe cible manque.</t>
  </si>
  <si>
    <t>6.3</t>
  </si>
  <si>
    <t>Historique et annulation</t>
  </si>
  <si>
    <t>L'administrateur annule une opération : l'état d'avant est restauré.</t>
  </si>
  <si>
    <t>Annulation bloquée si des paiements existent sur les inscriptions créées.</t>
  </si>
  <si>
    <t>6.4</t>
  </si>
  <si>
    <t>Sorties</t>
  </si>
  <si>
    <t>Abandon et exclusion, avec date et motif.</t>
  </si>
  <si>
    <t>Réservé à l'administrateur.</t>
  </si>
  <si>
    <t>7.1</t>
  </si>
  <si>
    <t>Indicateurs</t>
  </si>
  <si>
    <t>Effectif actif, taux de recouvrement, nombre d'étudiants en retard ; filtre année et filière.</t>
  </si>
  <si>
    <t>Trois cartes seulement, pas de graphiques (décision du client).</t>
  </si>
  <si>
    <t>7.2</t>
  </si>
  <si>
    <t>Tableau récapitulatif</t>
  </si>
  <si>
    <t>Par filière et niveau : effectif, attendu, encaissé, reste, taux ; 10 derniers paiements.</t>
  </si>
  <si>
    <t>8.1</t>
  </si>
  <si>
    <t>Import du fichier actuel</t>
  </si>
  <si>
    <t>Script d'import : étudiants, inscriptions, échéances, paiements ; mode essai avec rapport.</t>
  </si>
  <si>
    <t>Fichier Excel de l'institut pas encore fourni : charge à confirmer une fois le fichier vu.</t>
  </si>
  <si>
    <t>8.2</t>
  </si>
  <si>
    <t>Contrôle des données importées</t>
  </si>
  <si>
    <t>Vérification des lignes rejetées et corrections avec le secrétariat.</t>
  </si>
  <si>
    <t>9.1</t>
  </si>
  <si>
    <t>Préparation de l'hébergement</t>
  </si>
  <si>
    <t>cPanel : application Node.js, base PostgreSQL, utilisateur.</t>
  </si>
  <si>
    <t>Version de Node de l'hébergeur à vérifier (20.9 minimum).</t>
  </si>
  <si>
    <t>9.2</t>
  </si>
  <si>
    <t>Déploiement</t>
  </si>
  <si>
    <t>Construction, envoi, variables d'environnement, migrations, données initiales.</t>
  </si>
  <si>
    <t>9.3</t>
  </si>
  <si>
    <t>Sécurité et sauvegardes</t>
  </si>
  <si>
    <t>HTTPS, sauvegardes cPanel, comptes d'envoi d'e-mail et anti-robot de production.</t>
  </si>
  <si>
    <t>10.1</t>
  </si>
  <si>
    <t>Tests de bout en bout automatisés</t>
  </si>
  <si>
    <t>Parcours complets rejoués dans le navigateur : inscription, encaissement, hors ligne, passage d'année, rôles.</t>
  </si>
  <si>
    <t>10.2</t>
  </si>
  <si>
    <t>Recette fonctionnelle</t>
  </si>
  <si>
    <t>Parcours de vérification avec le client sur un jeu de données réel.</t>
  </si>
  <si>
    <t>10.3</t>
  </si>
  <si>
    <t>Formation et guide</t>
  </si>
  <si>
    <t>Prise en main par le secrétariat et l'administrateur, guide d'utilisation court.</t>
  </si>
  <si>
    <t>Total réalisation (hors gestion de projet et retours clients)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</si>
</sst>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;\-0.00;&quot;-&quot;"/>
    <numFmt numFmtId="165" formatCode="#,##0;\-#,##0;&quot;-&quot;"/>
  </numFmts>
  <fonts count="8" x14ac:knownFonts="1">
    <font>
      <sz val="11"/>
      <color theme="1"/>
      <name val="Calibri"/>
      <family val="2"/>
      <scheme val="minor"/>
    </font>
    <font>
      <b/>
      <sz val="16"/>
      <color rgb="FF1E3A5F"/>
      <name val="Arial"/>
    </font>
    <font>
      <i/>
      <sz val="9"/>
      <color rgb="FF5B6472"/>
      <name val="Arial"/>
    </font>
    <font>
      <b/>
      <sz val="10"/>
      <color rgb="FFFFFFFF"/>
      <name val="Arial"/>
    </font>
    <font>
      <sz val="10"/>
      <name val="Arial"/>
    </font>
    <font>
      <sz val="10"/>
      <color rgb="FF0000FF"/>
      <name val="Arial"/>
    </font>
    <font>
      <b/>
      <sz val="10"/>
      <name val="Arial"/>
    </font>
    <font>
      <sz val="10"/>
      <color rgb="FF008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3F5F8"/>
      </patternFill>
    </fill>
    <fill>
      <patternFill patternType="solid">
        <fgColor rgb="FFFFFF00"/>
      </patternFill>
    </fill>
    <fill>
      <patternFill patternType="solid">
        <fgColor rgb="FFFBEFF2"/>
      </patternFill>
    </fill>
  </fills>
  <borders count="2">
    <border>
      <left/>
      <right/>
      <top/>
      <bottom/>
      <diagonal/>
    </border>
    <border>
      <left style="thin">
        <color rgb="FFD5DAE1"/>
      </left>
      <right style="thin">
        <color rgb="FFD5DAE1"/>
      </right>
      <top style="thin">
        <color rgb="FFD5DAE1"/>
      </top>
      <bottom style="thin">
        <color rgb="FFD5DAE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4" fillId="0" borderId="0" xfId="0" applyFont="1"/>
    <xf numFmtId="0" fontId="2" fillId="0" borderId="0" xfId="0" applyFont="1"/>
    <xf numFmtId="0" fontId="6" fillId="0" borderId="0" xfId="0" applyFont="1"/>
    <xf numFmtId="9" fontId="5" fillId="0" borderId="1" xfId="0" applyNumberFormat="1" applyFont="1" applyBorder="1"/>
    <xf numFmtId="165" fontId="5" fillId="4" borderId="1" xfId="0" applyNumberFormat="1" applyFont="1" applyFill="1" applyBorder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164" fontId="7" fillId="0" borderId="1" xfId="0" applyNumberFormat="1" applyFont="1" applyBorder="1"/>
    <xf numFmtId="9" fontId="4" fillId="0" borderId="1" xfId="0" applyNumberFormat="1" applyFont="1" applyBorder="1"/>
    <xf numFmtId="0" fontId="6" fillId="3" borderId="1" xfId="0" applyFont="1" applyFill="1" applyBorder="1"/>
    <xf numFmtId="164" fontId="6" fillId="3" borderId="1" xfId="0" applyNumberFormat="1" applyFont="1" applyFill="1" applyBorder="1"/>
    <xf numFmtId="164" fontId="4" fillId="0" borderId="1" xfId="0" applyNumberFormat="1" applyFont="1" applyBorder="1"/>
    <xf numFmtId="9" fontId="2" fillId="0" borderId="1" xfId="0" applyNumberFormat="1" applyFont="1" applyBorder="1"/>
    <xf numFmtId="0" fontId="6" fillId="5" borderId="1" xfId="0" applyFont="1" applyFill="1" applyBorder="1"/>
    <xf numFmtId="164" fontId="6" fillId="5" borderId="1" xfId="0" applyNumberFormat="1" applyFont="1" applyFill="1" applyBorder="1"/>
    <xf numFmtId="165" fontId="6" fillId="0" borderId="0" xfId="0" applyNumberFormat="1" applyFont="1"/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vertical="top" wrapText="1"/>
    </xf>
    <xf numFmtId="164" fontId="5" fillId="0" borderId="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34"/>
  <sheetViews>
    <sheetView showGridLines="0" tabSelected="1" workbookViewId="0"/>
  </sheetViews>
  <sheetFormatPr baseColWidth="10" defaultColWidth="8.88671875" defaultRowHeight="14.4" x14ac:dyDescent="0.3"/>
  <cols>
    <col min="1" max="1" width="22" customWidth="1"/>
    <col min="2" max="2" width="44" customWidth="1"/>
    <col min="3" max="3" width="16" customWidth="1"/>
    <col min="4" max="4" width="10" customWidth="1"/>
  </cols>
  <sheetData>
    <row r="1" spans="1:4" ht="21" x14ac:dyDescent="0.4">
      <c r="A1" s="1" t="s">
        <v>0</v>
      </c>
    </row>
    <row r="2" spans="1:4" x14ac:dyDescent="0.3">
      <c r="A2" s="2" t="s">
        <v>1</v>
      </c>
    </row>
    <row r="3" spans="1:4" x14ac:dyDescent="0.3">
      <c r="A3" s="3" t="s">
        <v>2</v>
      </c>
    </row>
    <row r="5" spans="1:4" x14ac:dyDescent="0.3">
      <c r="A5" s="4" t="s">
        <v>3</v>
      </c>
    </row>
    <row r="6" spans="1:4" x14ac:dyDescent="0.3">
      <c r="A6" s="2" t="s">
        <v>4</v>
      </c>
      <c r="B6" s="5">
        <v>0.1</v>
      </c>
      <c r="C6" s="3" t="s">
        <v>5</v>
      </c>
    </row>
    <row r="7" spans="1:4" x14ac:dyDescent="0.3">
      <c r="A7" s="2" t="s">
        <v>6</v>
      </c>
      <c r="B7" s="5">
        <v>0.05</v>
      </c>
      <c r="C7" s="3" t="s">
        <v>7</v>
      </c>
    </row>
    <row r="8" spans="1:4" x14ac:dyDescent="0.3">
      <c r="A8" s="2" t="s">
        <v>8</v>
      </c>
      <c r="B8" s="6"/>
      <c r="C8" s="3" t="s">
        <v>9</v>
      </c>
    </row>
    <row r="10" spans="1:4" ht="30" customHeight="1" x14ac:dyDescent="0.3">
      <c r="A10" s="7" t="s">
        <v>10</v>
      </c>
      <c r="B10" s="7" t="s">
        <v>11</v>
      </c>
      <c r="C10" s="7" t="s">
        <v>12</v>
      </c>
      <c r="D10" s="7" t="s">
        <v>13</v>
      </c>
    </row>
    <row r="11" spans="1:4" x14ac:dyDescent="0.3">
      <c r="A11" s="8">
        <v>1</v>
      </c>
      <c r="B11" s="9" t="s">
        <v>14</v>
      </c>
      <c r="C11" s="10">
        <f>SUMIFS(Détail!$F$5:$F$49,Détail!$B$5:$B$49,$B11)</f>
        <v>0.25</v>
      </c>
      <c r="D11" s="11">
        <f t="shared" ref="D11:D20" si="0">IF($C$21=0,0,C11/$C$21)</f>
        <v>3.8461538461538457E-2</v>
      </c>
    </row>
    <row r="12" spans="1:4" x14ac:dyDescent="0.3">
      <c r="A12" s="8">
        <v>2</v>
      </c>
      <c r="B12" s="9" t="s">
        <v>15</v>
      </c>
      <c r="C12" s="10">
        <f>SUMIFS(Détail!$F$5:$F$49,Détail!$B$5:$B$49,$B12)</f>
        <v>0.5</v>
      </c>
      <c r="D12" s="11">
        <f t="shared" si="0"/>
        <v>7.6923076923076913E-2</v>
      </c>
    </row>
    <row r="13" spans="1:4" x14ac:dyDescent="0.3">
      <c r="A13" s="8">
        <v>3</v>
      </c>
      <c r="B13" s="9" t="s">
        <v>16</v>
      </c>
      <c r="C13" s="10">
        <f>SUMIFS(Détail!$F$5:$F$49,Détail!$B$5:$B$49,$B13)</f>
        <v>0.75000000000000011</v>
      </c>
      <c r="D13" s="11">
        <f t="shared" si="0"/>
        <v>0.11538461538461539</v>
      </c>
    </row>
    <row r="14" spans="1:4" x14ac:dyDescent="0.3">
      <c r="A14" s="8">
        <v>4</v>
      </c>
      <c r="B14" s="9" t="s">
        <v>17</v>
      </c>
      <c r="C14" s="10">
        <f>SUMIFS(Détail!$F$5:$F$49,Détail!$B$5:$B$49,$B14)</f>
        <v>1.5000000000000004</v>
      </c>
      <c r="D14" s="11">
        <f t="shared" si="0"/>
        <v>0.23076923076923081</v>
      </c>
    </row>
    <row r="15" spans="1:4" x14ac:dyDescent="0.3">
      <c r="A15" s="8">
        <v>5</v>
      </c>
      <c r="B15" s="9" t="s">
        <v>18</v>
      </c>
      <c r="C15" s="10">
        <f>SUMIFS(Détail!$F$5:$F$49,Détail!$B$5:$B$49,$B15)</f>
        <v>1.0000000000000002</v>
      </c>
      <c r="D15" s="11">
        <f t="shared" si="0"/>
        <v>0.15384615384615385</v>
      </c>
    </row>
    <row r="16" spans="1:4" x14ac:dyDescent="0.3">
      <c r="A16" s="8">
        <v>6</v>
      </c>
      <c r="B16" s="9" t="s">
        <v>19</v>
      </c>
      <c r="C16" s="10">
        <f>SUMIFS(Détail!$F$5:$F$49,Détail!$B$5:$B$49,$B16)</f>
        <v>0.75</v>
      </c>
      <c r="D16" s="11">
        <f t="shared" si="0"/>
        <v>0.11538461538461536</v>
      </c>
    </row>
    <row r="17" spans="1:4" x14ac:dyDescent="0.3">
      <c r="A17" s="8">
        <v>7</v>
      </c>
      <c r="B17" s="9" t="s">
        <v>20</v>
      </c>
      <c r="C17" s="10">
        <f>SUMIFS(Détail!$F$5:$F$49,Détail!$B$5:$B$49,$B17)</f>
        <v>0.25</v>
      </c>
      <c r="D17" s="11">
        <f t="shared" si="0"/>
        <v>3.8461538461538457E-2</v>
      </c>
    </row>
    <row r="18" spans="1:4" x14ac:dyDescent="0.3">
      <c r="A18" s="8">
        <v>8</v>
      </c>
      <c r="B18" s="9" t="s">
        <v>21</v>
      </c>
      <c r="C18" s="10">
        <f>SUMIFS(Détail!$F$5:$F$49,Détail!$B$5:$B$49,$B18)</f>
        <v>0.5</v>
      </c>
      <c r="D18" s="11">
        <f t="shared" si="0"/>
        <v>7.6923076923076913E-2</v>
      </c>
    </row>
    <row r="19" spans="1:4" x14ac:dyDescent="0.3">
      <c r="A19" s="8">
        <v>9</v>
      </c>
      <c r="B19" s="9" t="s">
        <v>22</v>
      </c>
      <c r="C19" s="10">
        <f>SUMIFS(Détail!$F$5:$F$49,Détail!$B$5:$B$49,$B19)</f>
        <v>0.25</v>
      </c>
      <c r="D19" s="11">
        <f t="shared" si="0"/>
        <v>3.8461538461538457E-2</v>
      </c>
    </row>
    <row r="20" spans="1:4" x14ac:dyDescent="0.3">
      <c r="A20" s="8">
        <v>10</v>
      </c>
      <c r="B20" s="9" t="s">
        <v>23</v>
      </c>
      <c r="C20" s="10">
        <f>SUMIFS(Détail!$F$5:$F$49,Détail!$B$5:$B$49,$B20)</f>
        <v>0.75</v>
      </c>
      <c r="D20" s="11">
        <f t="shared" si="0"/>
        <v>0.11538461538461536</v>
      </c>
    </row>
    <row r="21" spans="1:4" x14ac:dyDescent="0.3">
      <c r="A21" s="12"/>
      <c r="B21" s="12" t="s">
        <v>24</v>
      </c>
      <c r="C21" s="13">
        <f>SUM(C11:C20)</f>
        <v>6.5000000000000009</v>
      </c>
      <c r="D21" s="12"/>
    </row>
    <row r="22" spans="1:4" x14ac:dyDescent="0.3">
      <c r="A22" s="9"/>
      <c r="B22" s="9" t="s">
        <v>4</v>
      </c>
      <c r="C22" s="14">
        <f>C21*$B$6</f>
        <v>0.65000000000000013</v>
      </c>
      <c r="D22" s="15">
        <f>$B$6</f>
        <v>0.1</v>
      </c>
    </row>
    <row r="23" spans="1:4" x14ac:dyDescent="0.3">
      <c r="A23" s="9"/>
      <c r="B23" s="9" t="s">
        <v>6</v>
      </c>
      <c r="C23" s="14">
        <f>C21*$B$7</f>
        <v>0.32500000000000007</v>
      </c>
      <c r="D23" s="15">
        <f>$B$7</f>
        <v>0.05</v>
      </c>
    </row>
    <row r="24" spans="1:4" x14ac:dyDescent="0.3">
      <c r="A24" s="16"/>
      <c r="B24" s="16" t="s">
        <v>25</v>
      </c>
      <c r="C24" s="17">
        <f>SUM(C21:C23)</f>
        <v>7.4750000000000014</v>
      </c>
      <c r="D24" s="16"/>
    </row>
    <row r="26" spans="1:4" x14ac:dyDescent="0.3">
      <c r="B26" s="4" t="s">
        <v>26</v>
      </c>
      <c r="C26" s="18">
        <f>C24*$B$8</f>
        <v>0</v>
      </c>
      <c r="D26" s="3" t="s">
        <v>27</v>
      </c>
    </row>
    <row r="28" spans="1:4" x14ac:dyDescent="0.3">
      <c r="A28" s="4" t="s">
        <v>28</v>
      </c>
    </row>
    <row r="29" spans="1:4" x14ac:dyDescent="0.3">
      <c r="A29" s="2" t="s">
        <v>29</v>
      </c>
    </row>
    <row r="30" spans="1:4" x14ac:dyDescent="0.3">
      <c r="A30" s="2" t="s">
        <v>30</v>
      </c>
    </row>
    <row r="31" spans="1:4" x14ac:dyDescent="0.3">
      <c r="A31" s="2" t="s">
        <v>31</v>
      </c>
    </row>
    <row r="32" spans="1:4" x14ac:dyDescent="0.3">
      <c r="A32" s="2" t="s">
        <v>32</v>
      </c>
    </row>
    <row r="33" spans="1:1" x14ac:dyDescent="0.3">
      <c r="A33" s="2" t="s">
        <v>33</v>
      </c>
    </row>
    <row r="34" spans="1:1" x14ac:dyDescent="0.3">
      <c r="A34" s="2" t="s">
        <v>34</v>
      </c>
    </row>
  </sheetData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50"/>
  <sheetViews>
    <sheetView showGridLines="0" workbookViewId="0">
      <pane xSplit="3" ySplit="4" topLeftCell="D5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1" max="1" width="6" customWidth="1"/>
    <col min="2" max="2" width="28" customWidth="1"/>
    <col min="3" max="3" width="34" customWidth="1"/>
    <col min="4" max="4" width="62" customWidth="1"/>
    <col min="5" max="5" width="58" customWidth="1"/>
    <col min="6" max="6" width="13" customWidth="1"/>
  </cols>
  <sheetData>
    <row r="1" spans="1:6" ht="21" x14ac:dyDescent="0.4">
      <c r="A1" s="1" t="s">
        <v>35</v>
      </c>
    </row>
    <row r="2" spans="1:6" x14ac:dyDescent="0.3">
      <c r="A2" s="3" t="s">
        <v>36</v>
      </c>
    </row>
    <row r="4" spans="1:6" ht="30" customHeight="1" x14ac:dyDescent="0.3">
      <c r="A4" s="7" t="s">
        <v>10</v>
      </c>
      <c r="B4" s="7" t="s">
        <v>11</v>
      </c>
      <c r="C4" s="7" t="s">
        <v>37</v>
      </c>
      <c r="D4" s="7" t="s">
        <v>38</v>
      </c>
      <c r="E4" s="7" t="s">
        <v>39</v>
      </c>
      <c r="F4" s="7" t="s">
        <v>12</v>
      </c>
    </row>
    <row r="5" spans="1:6" ht="26.4" x14ac:dyDescent="0.3">
      <c r="A5" s="19" t="s">
        <v>40</v>
      </c>
      <c r="B5" s="20" t="s">
        <v>14</v>
      </c>
      <c r="C5" s="20" t="s">
        <v>41</v>
      </c>
      <c r="D5" s="20" t="s">
        <v>42</v>
      </c>
      <c r="E5" s="20"/>
      <c r="F5" s="21">
        <v>0.1</v>
      </c>
    </row>
    <row r="6" spans="1:6" ht="26.4" x14ac:dyDescent="0.3">
      <c r="A6" s="19" t="s">
        <v>43</v>
      </c>
      <c r="B6" s="20" t="s">
        <v>14</v>
      </c>
      <c r="C6" s="20" t="s">
        <v>44</v>
      </c>
      <c r="D6" s="20" t="s">
        <v>45</v>
      </c>
      <c r="E6" s="20" t="s">
        <v>46</v>
      </c>
      <c r="F6" s="21">
        <v>0.05</v>
      </c>
    </row>
    <row r="7" spans="1:6" ht="26.4" x14ac:dyDescent="0.3">
      <c r="A7" s="19" t="s">
        <v>47</v>
      </c>
      <c r="B7" s="20" t="s">
        <v>14</v>
      </c>
      <c r="C7" s="20" t="s">
        <v>48</v>
      </c>
      <c r="D7" s="20" t="s">
        <v>49</v>
      </c>
      <c r="E7" s="20"/>
      <c r="F7" s="21">
        <v>0.1</v>
      </c>
    </row>
    <row r="8" spans="1:6" x14ac:dyDescent="0.3">
      <c r="A8" s="19" t="s">
        <v>50</v>
      </c>
      <c r="B8" s="20" t="s">
        <v>15</v>
      </c>
      <c r="C8" s="20" t="s">
        <v>51</v>
      </c>
      <c r="D8" s="20" t="s">
        <v>52</v>
      </c>
      <c r="E8" s="20" t="s">
        <v>53</v>
      </c>
      <c r="F8" s="21">
        <v>0.1</v>
      </c>
    </row>
    <row r="9" spans="1:6" x14ac:dyDescent="0.3">
      <c r="A9" s="19" t="s">
        <v>54</v>
      </c>
      <c r="B9" s="20" t="s">
        <v>15</v>
      </c>
      <c r="C9" s="20" t="s">
        <v>55</v>
      </c>
      <c r="D9" s="20" t="s">
        <v>56</v>
      </c>
      <c r="E9" s="20"/>
      <c r="F9" s="21">
        <v>0.1</v>
      </c>
    </row>
    <row r="10" spans="1:6" ht="26.4" x14ac:dyDescent="0.3">
      <c r="A10" s="19" t="s">
        <v>57</v>
      </c>
      <c r="B10" s="20" t="s">
        <v>15</v>
      </c>
      <c r="C10" s="20" t="s">
        <v>58</v>
      </c>
      <c r="D10" s="20" t="s">
        <v>59</v>
      </c>
      <c r="E10" s="20" t="s">
        <v>60</v>
      </c>
      <c r="F10" s="21">
        <v>0.15</v>
      </c>
    </row>
    <row r="11" spans="1:6" x14ac:dyDescent="0.3">
      <c r="A11" s="19" t="s">
        <v>61</v>
      </c>
      <c r="B11" s="20" t="s">
        <v>15</v>
      </c>
      <c r="C11" s="20" t="s">
        <v>62</v>
      </c>
      <c r="D11" s="20" t="s">
        <v>63</v>
      </c>
      <c r="E11" s="20" t="s">
        <v>64</v>
      </c>
      <c r="F11" s="21">
        <v>0.15</v>
      </c>
    </row>
    <row r="12" spans="1:6" ht="26.4" x14ac:dyDescent="0.3">
      <c r="A12" s="19" t="s">
        <v>65</v>
      </c>
      <c r="B12" s="20" t="s">
        <v>16</v>
      </c>
      <c r="C12" s="20" t="s">
        <v>66</v>
      </c>
      <c r="D12" s="20" t="s">
        <v>67</v>
      </c>
      <c r="E12" s="20" t="s">
        <v>68</v>
      </c>
      <c r="F12" s="21">
        <v>0.1</v>
      </c>
    </row>
    <row r="13" spans="1:6" ht="26.4" x14ac:dyDescent="0.3">
      <c r="A13" s="19" t="s">
        <v>69</v>
      </c>
      <c r="B13" s="20" t="s">
        <v>16</v>
      </c>
      <c r="C13" s="20" t="s">
        <v>70</v>
      </c>
      <c r="D13" s="20" t="s">
        <v>71</v>
      </c>
      <c r="E13" s="20" t="s">
        <v>72</v>
      </c>
      <c r="F13" s="21">
        <v>0.2</v>
      </c>
    </row>
    <row r="14" spans="1:6" ht="26.4" x14ac:dyDescent="0.3">
      <c r="A14" s="19" t="s">
        <v>73</v>
      </c>
      <c r="B14" s="20" t="s">
        <v>16</v>
      </c>
      <c r="C14" s="20" t="s">
        <v>74</v>
      </c>
      <c r="D14" s="20" t="s">
        <v>75</v>
      </c>
      <c r="E14" s="20"/>
      <c r="F14" s="21">
        <v>0.15</v>
      </c>
    </row>
    <row r="15" spans="1:6" ht="26.4" x14ac:dyDescent="0.3">
      <c r="A15" s="19" t="s">
        <v>76</v>
      </c>
      <c r="B15" s="20" t="s">
        <v>16</v>
      </c>
      <c r="C15" s="20" t="s">
        <v>77</v>
      </c>
      <c r="D15" s="20" t="s">
        <v>78</v>
      </c>
      <c r="E15" s="20" t="s">
        <v>79</v>
      </c>
      <c r="F15" s="21">
        <v>0.25</v>
      </c>
    </row>
    <row r="16" spans="1:6" x14ac:dyDescent="0.3">
      <c r="A16" s="19" t="s">
        <v>80</v>
      </c>
      <c r="B16" s="20" t="s">
        <v>16</v>
      </c>
      <c r="C16" s="20" t="s">
        <v>81</v>
      </c>
      <c r="D16" s="20" t="s">
        <v>82</v>
      </c>
      <c r="E16" s="20" t="s">
        <v>83</v>
      </c>
      <c r="F16" s="21">
        <v>0.05</v>
      </c>
    </row>
    <row r="17" spans="1:6" ht="26.4" x14ac:dyDescent="0.3">
      <c r="A17" s="19" t="s">
        <v>84</v>
      </c>
      <c r="B17" s="20" t="s">
        <v>17</v>
      </c>
      <c r="C17" s="20" t="s">
        <v>85</v>
      </c>
      <c r="D17" s="20" t="s">
        <v>86</v>
      </c>
      <c r="E17" s="20" t="s">
        <v>87</v>
      </c>
      <c r="F17" s="21">
        <v>0.25</v>
      </c>
    </row>
    <row r="18" spans="1:6" ht="26.4" x14ac:dyDescent="0.3">
      <c r="A18" s="19" t="s">
        <v>88</v>
      </c>
      <c r="B18" s="20" t="s">
        <v>17</v>
      </c>
      <c r="C18" s="20" t="s">
        <v>89</v>
      </c>
      <c r="D18" s="20" t="s">
        <v>90</v>
      </c>
      <c r="E18" s="20" t="s">
        <v>91</v>
      </c>
      <c r="F18" s="21">
        <v>0.1</v>
      </c>
    </row>
    <row r="19" spans="1:6" ht="26.4" x14ac:dyDescent="0.3">
      <c r="A19" s="19" t="s">
        <v>92</v>
      </c>
      <c r="B19" s="20" t="s">
        <v>17</v>
      </c>
      <c r="C19" s="20" t="s">
        <v>93</v>
      </c>
      <c r="D19" s="20" t="s">
        <v>94</v>
      </c>
      <c r="E19" s="20" t="s">
        <v>95</v>
      </c>
      <c r="F19" s="21">
        <v>0.15</v>
      </c>
    </row>
    <row r="20" spans="1:6" ht="26.4" x14ac:dyDescent="0.3">
      <c r="A20" s="19" t="s">
        <v>96</v>
      </c>
      <c r="B20" s="20" t="s">
        <v>17</v>
      </c>
      <c r="C20" s="20" t="s">
        <v>97</v>
      </c>
      <c r="D20" s="20" t="s">
        <v>98</v>
      </c>
      <c r="E20" s="20" t="s">
        <v>99</v>
      </c>
      <c r="F20" s="21">
        <v>0.3</v>
      </c>
    </row>
    <row r="21" spans="1:6" ht="26.4" x14ac:dyDescent="0.3">
      <c r="A21" s="19" t="s">
        <v>100</v>
      </c>
      <c r="B21" s="20" t="s">
        <v>17</v>
      </c>
      <c r="C21" s="20" t="s">
        <v>101</v>
      </c>
      <c r="D21" s="20" t="s">
        <v>102</v>
      </c>
      <c r="E21" s="20"/>
      <c r="F21" s="21">
        <v>0.05</v>
      </c>
    </row>
    <row r="22" spans="1:6" x14ac:dyDescent="0.3">
      <c r="A22" s="19" t="s">
        <v>103</v>
      </c>
      <c r="B22" s="20" t="s">
        <v>17</v>
      </c>
      <c r="C22" s="20" t="s">
        <v>104</v>
      </c>
      <c r="D22" s="20" t="s">
        <v>105</v>
      </c>
      <c r="E22" s="20"/>
      <c r="F22" s="21">
        <v>0.05</v>
      </c>
    </row>
    <row r="23" spans="1:6" x14ac:dyDescent="0.3">
      <c r="A23" s="19" t="s">
        <v>106</v>
      </c>
      <c r="B23" s="20" t="s">
        <v>17</v>
      </c>
      <c r="C23" s="20" t="s">
        <v>107</v>
      </c>
      <c r="D23" s="20" t="s">
        <v>108</v>
      </c>
      <c r="E23" s="20"/>
      <c r="F23" s="21">
        <v>0.05</v>
      </c>
    </row>
    <row r="24" spans="1:6" ht="26.4" x14ac:dyDescent="0.3">
      <c r="A24" s="19" t="s">
        <v>109</v>
      </c>
      <c r="B24" s="20" t="s">
        <v>17</v>
      </c>
      <c r="C24" s="20" t="s">
        <v>110</v>
      </c>
      <c r="D24" s="20" t="s">
        <v>111</v>
      </c>
      <c r="E24" s="20" t="s">
        <v>112</v>
      </c>
      <c r="F24" s="21">
        <v>0.2</v>
      </c>
    </row>
    <row r="25" spans="1:6" x14ac:dyDescent="0.3">
      <c r="A25" s="19" t="s">
        <v>113</v>
      </c>
      <c r="B25" s="20" t="s">
        <v>17</v>
      </c>
      <c r="C25" s="20" t="s">
        <v>114</v>
      </c>
      <c r="D25" s="20" t="s">
        <v>115</v>
      </c>
      <c r="E25" s="20"/>
      <c r="F25" s="21">
        <v>0.1</v>
      </c>
    </row>
    <row r="26" spans="1:6" ht="26.4" x14ac:dyDescent="0.3">
      <c r="A26" s="19" t="s">
        <v>116</v>
      </c>
      <c r="B26" s="20" t="s">
        <v>17</v>
      </c>
      <c r="C26" s="20" t="s">
        <v>117</v>
      </c>
      <c r="D26" s="20" t="s">
        <v>118</v>
      </c>
      <c r="E26" s="20" t="s">
        <v>119</v>
      </c>
      <c r="F26" s="21">
        <v>0.05</v>
      </c>
    </row>
    <row r="27" spans="1:6" x14ac:dyDescent="0.3">
      <c r="A27" s="19" t="s">
        <v>120</v>
      </c>
      <c r="B27" s="20" t="s">
        <v>17</v>
      </c>
      <c r="C27" s="20" t="s">
        <v>121</v>
      </c>
      <c r="D27" s="20" t="s">
        <v>122</v>
      </c>
      <c r="E27" s="20"/>
      <c r="F27" s="21">
        <v>0.1</v>
      </c>
    </row>
    <row r="28" spans="1:6" ht="26.4" x14ac:dyDescent="0.3">
      <c r="A28" s="19" t="s">
        <v>123</v>
      </c>
      <c r="B28" s="20" t="s">
        <v>17</v>
      </c>
      <c r="C28" s="20" t="s">
        <v>124</v>
      </c>
      <c r="D28" s="20" t="s">
        <v>125</v>
      </c>
      <c r="E28" s="20" t="s">
        <v>126</v>
      </c>
      <c r="F28" s="21">
        <v>0.1</v>
      </c>
    </row>
    <row r="29" spans="1:6" ht="26.4" x14ac:dyDescent="0.3">
      <c r="A29" s="19" t="s">
        <v>127</v>
      </c>
      <c r="B29" s="20" t="s">
        <v>18</v>
      </c>
      <c r="C29" s="20" t="s">
        <v>128</v>
      </c>
      <c r="D29" s="20" t="s">
        <v>129</v>
      </c>
      <c r="E29" s="20" t="s">
        <v>130</v>
      </c>
      <c r="F29" s="21">
        <v>0.1</v>
      </c>
    </row>
    <row r="30" spans="1:6" x14ac:dyDescent="0.3">
      <c r="A30" s="19" t="s">
        <v>131</v>
      </c>
      <c r="B30" s="20" t="s">
        <v>18</v>
      </c>
      <c r="C30" s="20" t="s">
        <v>132</v>
      </c>
      <c r="D30" s="20" t="s">
        <v>133</v>
      </c>
      <c r="E30" s="20" t="s">
        <v>134</v>
      </c>
      <c r="F30" s="21">
        <v>0.2</v>
      </c>
    </row>
    <row r="31" spans="1:6" x14ac:dyDescent="0.3">
      <c r="A31" s="19" t="s">
        <v>135</v>
      </c>
      <c r="B31" s="20" t="s">
        <v>18</v>
      </c>
      <c r="C31" s="20" t="s">
        <v>136</v>
      </c>
      <c r="D31" s="20" t="s">
        <v>137</v>
      </c>
      <c r="E31" s="20" t="s">
        <v>138</v>
      </c>
      <c r="F31" s="21">
        <v>0.15</v>
      </c>
    </row>
    <row r="32" spans="1:6" ht="26.4" x14ac:dyDescent="0.3">
      <c r="A32" s="19" t="s">
        <v>139</v>
      </c>
      <c r="B32" s="20" t="s">
        <v>18</v>
      </c>
      <c r="C32" s="20" t="s">
        <v>140</v>
      </c>
      <c r="D32" s="20" t="s">
        <v>141</v>
      </c>
      <c r="E32" s="20" t="s">
        <v>142</v>
      </c>
      <c r="F32" s="21">
        <v>0.15</v>
      </c>
    </row>
    <row r="33" spans="1:6" ht="26.4" x14ac:dyDescent="0.3">
      <c r="A33" s="19" t="s">
        <v>143</v>
      </c>
      <c r="B33" s="20" t="s">
        <v>18</v>
      </c>
      <c r="C33" s="20" t="s">
        <v>144</v>
      </c>
      <c r="D33" s="20" t="s">
        <v>145</v>
      </c>
      <c r="E33" s="20" t="s">
        <v>146</v>
      </c>
      <c r="F33" s="21">
        <v>0.15</v>
      </c>
    </row>
    <row r="34" spans="1:6" ht="26.4" x14ac:dyDescent="0.3">
      <c r="A34" s="19" t="s">
        <v>147</v>
      </c>
      <c r="B34" s="20" t="s">
        <v>18</v>
      </c>
      <c r="C34" s="20" t="s">
        <v>148</v>
      </c>
      <c r="D34" s="20" t="s">
        <v>149</v>
      </c>
      <c r="E34" s="20" t="s">
        <v>150</v>
      </c>
      <c r="F34" s="21">
        <v>0.15</v>
      </c>
    </row>
    <row r="35" spans="1:6" x14ac:dyDescent="0.3">
      <c r="A35" s="19" t="s">
        <v>151</v>
      </c>
      <c r="B35" s="20" t="s">
        <v>18</v>
      </c>
      <c r="C35" s="20" t="s">
        <v>152</v>
      </c>
      <c r="D35" s="20" t="s">
        <v>153</v>
      </c>
      <c r="E35" s="20" t="s">
        <v>154</v>
      </c>
      <c r="F35" s="21">
        <v>0.1</v>
      </c>
    </row>
    <row r="36" spans="1:6" ht="26.4" x14ac:dyDescent="0.3">
      <c r="A36" s="19" t="s">
        <v>155</v>
      </c>
      <c r="B36" s="20" t="s">
        <v>19</v>
      </c>
      <c r="C36" s="20" t="s">
        <v>156</v>
      </c>
      <c r="D36" s="20" t="s">
        <v>157</v>
      </c>
      <c r="E36" s="20" t="s">
        <v>158</v>
      </c>
      <c r="F36" s="21">
        <v>0.3</v>
      </c>
    </row>
    <row r="37" spans="1:6" ht="26.4" x14ac:dyDescent="0.3">
      <c r="A37" s="19" t="s">
        <v>159</v>
      </c>
      <c r="B37" s="20" t="s">
        <v>19</v>
      </c>
      <c r="C37" s="20" t="s">
        <v>160</v>
      </c>
      <c r="D37" s="20" t="s">
        <v>161</v>
      </c>
      <c r="E37" s="20" t="s">
        <v>162</v>
      </c>
      <c r="F37" s="21">
        <v>0.2</v>
      </c>
    </row>
    <row r="38" spans="1:6" ht="26.4" x14ac:dyDescent="0.3">
      <c r="A38" s="19" t="s">
        <v>163</v>
      </c>
      <c r="B38" s="20" t="s">
        <v>19</v>
      </c>
      <c r="C38" s="20" t="s">
        <v>164</v>
      </c>
      <c r="D38" s="20" t="s">
        <v>165</v>
      </c>
      <c r="E38" s="20" t="s">
        <v>166</v>
      </c>
      <c r="F38" s="21">
        <v>0.2</v>
      </c>
    </row>
    <row r="39" spans="1:6" ht="26.4" x14ac:dyDescent="0.3">
      <c r="A39" s="19" t="s">
        <v>167</v>
      </c>
      <c r="B39" s="20" t="s">
        <v>19</v>
      </c>
      <c r="C39" s="20" t="s">
        <v>168</v>
      </c>
      <c r="D39" s="20" t="s">
        <v>169</v>
      </c>
      <c r="E39" s="20" t="s">
        <v>170</v>
      </c>
      <c r="F39" s="21">
        <v>0.05</v>
      </c>
    </row>
    <row r="40" spans="1:6" ht="26.4" x14ac:dyDescent="0.3">
      <c r="A40" s="19" t="s">
        <v>171</v>
      </c>
      <c r="B40" s="20" t="s">
        <v>20</v>
      </c>
      <c r="C40" s="20" t="s">
        <v>172</v>
      </c>
      <c r="D40" s="20" t="s">
        <v>173</v>
      </c>
      <c r="E40" s="20" t="s">
        <v>174</v>
      </c>
      <c r="F40" s="21">
        <v>0.1</v>
      </c>
    </row>
    <row r="41" spans="1:6" ht="26.4" x14ac:dyDescent="0.3">
      <c r="A41" s="19" t="s">
        <v>175</v>
      </c>
      <c r="B41" s="20" t="s">
        <v>20</v>
      </c>
      <c r="C41" s="20" t="s">
        <v>176</v>
      </c>
      <c r="D41" s="20" t="s">
        <v>177</v>
      </c>
      <c r="E41" s="20"/>
      <c r="F41" s="21">
        <v>0.15</v>
      </c>
    </row>
    <row r="42" spans="1:6" ht="26.4" x14ac:dyDescent="0.3">
      <c r="A42" s="19" t="s">
        <v>178</v>
      </c>
      <c r="B42" s="20" t="s">
        <v>21</v>
      </c>
      <c r="C42" s="20" t="s">
        <v>179</v>
      </c>
      <c r="D42" s="20" t="s">
        <v>180</v>
      </c>
      <c r="E42" s="20" t="s">
        <v>181</v>
      </c>
      <c r="F42" s="21">
        <v>0.3</v>
      </c>
    </row>
    <row r="43" spans="1:6" x14ac:dyDescent="0.3">
      <c r="A43" s="19" t="s">
        <v>182</v>
      </c>
      <c r="B43" s="20" t="s">
        <v>21</v>
      </c>
      <c r="C43" s="20" t="s">
        <v>183</v>
      </c>
      <c r="D43" s="20" t="s">
        <v>184</v>
      </c>
      <c r="E43" s="20"/>
      <c r="F43" s="21">
        <v>0.2</v>
      </c>
    </row>
    <row r="44" spans="1:6" x14ac:dyDescent="0.3">
      <c r="A44" s="19" t="s">
        <v>185</v>
      </c>
      <c r="B44" s="20" t="s">
        <v>22</v>
      </c>
      <c r="C44" s="20" t="s">
        <v>186</v>
      </c>
      <c r="D44" s="20" t="s">
        <v>187</v>
      </c>
      <c r="E44" s="20" t="s">
        <v>188</v>
      </c>
      <c r="F44" s="21">
        <v>0.05</v>
      </c>
    </row>
    <row r="45" spans="1:6" ht="26.4" x14ac:dyDescent="0.3">
      <c r="A45" s="19" t="s">
        <v>189</v>
      </c>
      <c r="B45" s="20" t="s">
        <v>22</v>
      </c>
      <c r="C45" s="20" t="s">
        <v>190</v>
      </c>
      <c r="D45" s="20" t="s">
        <v>191</v>
      </c>
      <c r="E45" s="20"/>
      <c r="F45" s="21">
        <v>0.15</v>
      </c>
    </row>
    <row r="46" spans="1:6" ht="26.4" x14ac:dyDescent="0.3">
      <c r="A46" s="19" t="s">
        <v>192</v>
      </c>
      <c r="B46" s="20" t="s">
        <v>22</v>
      </c>
      <c r="C46" s="20" t="s">
        <v>193</v>
      </c>
      <c r="D46" s="20" t="s">
        <v>194</v>
      </c>
      <c r="E46" s="20"/>
      <c r="F46" s="21">
        <v>0.05</v>
      </c>
    </row>
    <row r="47" spans="1:6" ht="26.4" x14ac:dyDescent="0.3">
      <c r="A47" s="19" t="s">
        <v>195</v>
      </c>
      <c r="B47" s="20" t="s">
        <v>23</v>
      </c>
      <c r="C47" s="20" t="s">
        <v>196</v>
      </c>
      <c r="D47" s="20" t="s">
        <v>197</v>
      </c>
      <c r="E47" s="20"/>
      <c r="F47" s="21">
        <v>0.25</v>
      </c>
    </row>
    <row r="48" spans="1:6" x14ac:dyDescent="0.3">
      <c r="A48" s="19" t="s">
        <v>198</v>
      </c>
      <c r="B48" s="20" t="s">
        <v>23</v>
      </c>
      <c r="C48" s="20" t="s">
        <v>199</v>
      </c>
      <c r="D48" s="20" t="s">
        <v>200</v>
      </c>
      <c r="E48" s="20"/>
      <c r="F48" s="21">
        <v>0.25</v>
      </c>
    </row>
    <row r="49" spans="1:6" ht="26.4" x14ac:dyDescent="0.3">
      <c r="A49" s="19" t="s">
        <v>201</v>
      </c>
      <c r="B49" s="20" t="s">
        <v>23</v>
      </c>
      <c r="C49" s="20" t="s">
        <v>202</v>
      </c>
      <c r="D49" s="20" t="s">
        <v>203</v>
      </c>
      <c r="E49" s="20"/>
      <c r="F49" s="21">
        <v>0.25</v>
      </c>
    </row>
    <row r="50" spans="1:6" x14ac:dyDescent="0.3">
      <c r="A50" s="12"/>
      <c r="B50" s="12"/>
      <c r="C50" s="12" t="s">
        <v>204</v>
      </c>
      <c r="D50" s="12"/>
      <c r="E50" s="12"/>
      <c r="F50" s="13">
        <f>SUM(F5:F49)</f>
        <v>6.5</v>
      </c>
    </row>
  </sheetData>
  <autoFilter ref="A4:F49" xr:uid="{00000000-0009-0000-0000-000001000000}"/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Synthèse</vt:lpstr>
      <vt:lpstr>Détail</vt:lpstr>
      <vt:lpstr>Détail!Impression_des_titres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Diano ANDRIANTSALAMA</cp:lastModifiedBy>
  <dcterms:created xsi:type="dcterms:W3CDTF">2026-10-01T10:56:20Z</dcterms:created>
  <dcterms:modified xsi:type="dcterms:W3CDTF">2026-10-01T10:56:23Z</dcterms:modified>
</cp:coreProperties>
</file>